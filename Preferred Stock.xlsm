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wgdev\Documents\GitHub\SuperFinanceMacro\"/>
    </mc:Choice>
  </mc:AlternateContent>
  <bookViews>
    <workbookView xWindow="0" yWindow="0" windowWidth="16860" windowHeight="6893"/>
  </bookViews>
  <sheets>
    <sheet name="Preferred Fun" sheetId="6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9" i="6" l="1"/>
  <c r="F8" i="6" l="1"/>
  <c r="F7" i="6"/>
  <c r="B3" i="6" l="1"/>
</calcChain>
</file>

<file path=xl/sharedStrings.xml><?xml version="1.0" encoding="utf-8"?>
<sst xmlns="http://schemas.openxmlformats.org/spreadsheetml/2006/main" count="22" uniqueCount="21">
  <si>
    <t>Rate of Return on PS</t>
  </si>
  <si>
    <t>Dividend Received per year</t>
  </si>
  <si>
    <t>Cost/PV of PS</t>
  </si>
  <si>
    <t>Dividend / Price</t>
  </si>
  <si>
    <t>Dollar Premium</t>
  </si>
  <si>
    <t>% Premium</t>
  </si>
  <si>
    <t>*100%</t>
  </si>
  <si>
    <t>Dividents for prefered</t>
  </si>
  <si>
    <t>Dividents for common</t>
  </si>
  <si>
    <t>Payback</t>
  </si>
  <si>
    <t>$/stock/year</t>
  </si>
  <si>
    <t>$/stock</t>
  </si>
  <si>
    <t>Years</t>
  </si>
  <si>
    <t>$/share</t>
  </si>
  <si>
    <t>Price of P Stock</t>
  </si>
  <si>
    <t>Converts into X c stock -&gt;</t>
  </si>
  <si>
    <t>c stock trades at -&gt;</t>
  </si>
  <si>
    <t>Common Shares</t>
  </si>
  <si>
    <t>Both $ and % are conversion</t>
  </si>
  <si>
    <t>Need dividends for this only</t>
  </si>
  <si>
    <t>pt / (np/d) -&gt;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</si>
</sst>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9"/>
  <sheetViews>
    <sheetView tabSelected="1" workbookViewId="0">
      <selection activeCell="G18" sqref="G18"/>
    </sheetView>
  </sheetViews>
  <sheetFormatPr defaultRowHeight="14.25" x14ac:dyDescent="0.45"/>
  <cols>
    <col min="1" max="1" width="22.46484375" customWidth="1"/>
    <col min="5" max="5" width="20.9296875" customWidth="1"/>
    <col min="6" max="6" width="14.19921875" customWidth="1"/>
    <col min="7" max="7" width="9.86328125" customWidth="1"/>
    <col min="9" max="9" width="18.3984375" customWidth="1"/>
  </cols>
  <sheetData>
    <row r="1" spans="1:7" x14ac:dyDescent="0.45">
      <c r="A1" t="s">
        <v>1</v>
      </c>
      <c r="B1">
        <v>4</v>
      </c>
      <c r="C1" t="s">
        <v>13</v>
      </c>
      <c r="E1" t="s">
        <v>14</v>
      </c>
      <c r="F1">
        <v>75</v>
      </c>
    </row>
    <row r="2" spans="1:7" x14ac:dyDescent="0.45">
      <c r="A2" t="s">
        <v>0</v>
      </c>
      <c r="B2" s="1">
        <v>0.1</v>
      </c>
      <c r="C2" t="s">
        <v>3</v>
      </c>
      <c r="E2" t="s">
        <v>15</v>
      </c>
      <c r="F2">
        <v>2</v>
      </c>
      <c r="G2" t="s">
        <v>17</v>
      </c>
    </row>
    <row r="3" spans="1:7" x14ac:dyDescent="0.45">
      <c r="A3" t="s">
        <v>2</v>
      </c>
      <c r="B3">
        <f>B1/B2</f>
        <v>40</v>
      </c>
      <c r="C3" t="s">
        <v>13</v>
      </c>
      <c r="E3" t="s">
        <v>16</v>
      </c>
      <c r="F3">
        <v>31</v>
      </c>
      <c r="G3" t="s">
        <v>11</v>
      </c>
    </row>
    <row r="4" spans="1:7" x14ac:dyDescent="0.45">
      <c r="B4" t="s">
        <v>20</v>
      </c>
      <c r="E4" t="s">
        <v>7</v>
      </c>
      <c r="F4">
        <v>3</v>
      </c>
      <c r="G4" t="s">
        <v>10</v>
      </c>
    </row>
    <row r="5" spans="1:7" x14ac:dyDescent="0.45">
      <c r="E5" t="s">
        <v>8</v>
      </c>
      <c r="F5">
        <v>0.9</v>
      </c>
    </row>
    <row r="7" spans="1:7" x14ac:dyDescent="0.45">
      <c r="B7" t="s">
        <v>18</v>
      </c>
      <c r="E7" t="s">
        <v>4</v>
      </c>
      <c r="F7">
        <f>F1-F2*F3</f>
        <v>13</v>
      </c>
    </row>
    <row r="8" spans="1:7" x14ac:dyDescent="0.45">
      <c r="E8" t="s">
        <v>5</v>
      </c>
      <c r="F8">
        <f>(F1-F2*F3)/(F2*F3)</f>
        <v>0.20967741935483872</v>
      </c>
      <c r="G8" t="s">
        <v>6</v>
      </c>
    </row>
    <row r="9" spans="1:7" x14ac:dyDescent="0.45">
      <c r="B9" t="s">
        <v>19</v>
      </c>
      <c r="E9" t="s">
        <v>9</v>
      </c>
      <c r="F9">
        <f>F8/(F4/F1-F5/F3)</f>
        <v>19.117647058823533</v>
      </c>
      <c r="G9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Preferred Fun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wgdev</dc:creator>
  <cp:lastModifiedBy>wgdev</cp:lastModifiedBy>
  <dcterms:created xsi:type="dcterms:W3CDTF">2016-02-26T04:43:32Z</dcterms:created>
  <dcterms:modified xsi:type="dcterms:W3CDTF">2016-03-13T16:15:10Z</dcterms:modified>
</cp:coreProperties>
</file>