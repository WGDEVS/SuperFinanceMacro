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/>
  </bookViews>
  <sheets>
    <sheet name="bonds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  <c r="B11" i="4" l="1"/>
  <c r="G6" i="4" l="1"/>
  <c r="B14" i="4"/>
</calcChain>
</file>

<file path=xl/sharedStrings.xml><?xml version="1.0" encoding="utf-8"?>
<sst xmlns="http://schemas.openxmlformats.org/spreadsheetml/2006/main" count="26" uniqueCount="21">
  <si>
    <t>PV</t>
  </si>
  <si>
    <t>PV Function</t>
  </si>
  <si>
    <t>nper</t>
  </si>
  <si>
    <t>pmt</t>
  </si>
  <si>
    <t>fv</t>
  </si>
  <si>
    <t>PER PERIOD YTM or R</t>
  </si>
  <si>
    <t>YTM/ Rate Function</t>
  </si>
  <si>
    <t>Nper</t>
  </si>
  <si>
    <t>PMT</t>
  </si>
  <si>
    <t>FV</t>
  </si>
  <si>
    <t>Rate/YTM</t>
  </si>
  <si>
    <t>Annual Rate</t>
  </si>
  <si>
    <t>Compound Rate Per Period</t>
  </si>
  <si>
    <t>% of year of period</t>
  </si>
  <si>
    <t>Annual Rate (%)</t>
  </si>
  <si>
    <t>Number of cash flows (NOT years)</t>
  </si>
  <si>
    <t>Coupon (NOT rate) per period (rate/#periods-in-year)*FV</t>
  </si>
  <si>
    <t>Present Value (give in negative)</t>
  </si>
  <si>
    <t>Face value (assume $100 if not given)</t>
  </si>
  <si>
    <t>FIRST</t>
  </si>
  <si>
    <t>rate/YTM per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</si>
</sst>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000%"/>
    <numFmt numFmtId="165" formatCode="&quot;$&quot;#,##0.0000000000;[Red]\-&quot;$&quot;#,##0.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"/>
  <sheetViews>
    <sheetView tabSelected="1" workbookViewId="0">
      <selection activeCell="F17" sqref="F17"/>
    </sheetView>
  </sheetViews>
  <sheetFormatPr defaultRowHeight="14.25" x14ac:dyDescent="0.45"/>
  <cols>
    <col min="1" max="1" width="25.33203125" customWidth="1"/>
    <col min="2" max="2" width="14.86328125" bestFit="1" customWidth="1"/>
    <col min="3" max="3" width="31.46484375" customWidth="1"/>
    <col min="5" max="5" width="7.9296875" customWidth="1"/>
    <col min="6" max="6" width="17.9296875" customWidth="1"/>
    <col min="7" max="7" width="13.6640625" bestFit="1" customWidth="1"/>
  </cols>
  <sheetData>
    <row r="1" spans="1:8" x14ac:dyDescent="0.45">
      <c r="A1" t="s">
        <v>1</v>
      </c>
      <c r="F1" t="s">
        <v>6</v>
      </c>
    </row>
    <row r="2" spans="1:8" x14ac:dyDescent="0.45">
      <c r="A2" t="s">
        <v>20</v>
      </c>
      <c r="B2" s="1">
        <v>3.1503756658210147E-2</v>
      </c>
      <c r="C2" t="s">
        <v>5</v>
      </c>
      <c r="F2" t="s">
        <v>7</v>
      </c>
      <c r="G2">
        <v>20</v>
      </c>
      <c r="H2" t="s">
        <v>15</v>
      </c>
    </row>
    <row r="3" spans="1:8" x14ac:dyDescent="0.45">
      <c r="A3" t="s">
        <v>2</v>
      </c>
      <c r="B3">
        <v>8</v>
      </c>
      <c r="C3" t="s">
        <v>15</v>
      </c>
      <c r="F3" t="s">
        <v>8</v>
      </c>
      <c r="G3">
        <v>3</v>
      </c>
      <c r="H3" t="s">
        <v>16</v>
      </c>
    </row>
    <row r="4" spans="1:8" x14ac:dyDescent="0.45">
      <c r="A4" t="s">
        <v>3</v>
      </c>
      <c r="B4">
        <v>2.5</v>
      </c>
      <c r="C4" t="s">
        <v>16</v>
      </c>
      <c r="F4" t="s">
        <v>0</v>
      </c>
      <c r="G4">
        <v>-94.25</v>
      </c>
      <c r="H4" t="s">
        <v>17</v>
      </c>
    </row>
    <row r="5" spans="1:8" x14ac:dyDescent="0.45">
      <c r="A5" t="s">
        <v>4</v>
      </c>
      <c r="B5">
        <v>100</v>
      </c>
      <c r="C5" t="s">
        <v>18</v>
      </c>
      <c r="F5" t="s">
        <v>9</v>
      </c>
      <c r="G5">
        <v>100</v>
      </c>
      <c r="H5" t="s">
        <v>18</v>
      </c>
    </row>
    <row r="6" spans="1:8" x14ac:dyDescent="0.45">
      <c r="A6" t="s">
        <v>0</v>
      </c>
      <c r="B6" s="3">
        <f>PV(B2,B3,B4,B5)</f>
        <v>-95.463385779600827</v>
      </c>
      <c r="F6" t="s">
        <v>10</v>
      </c>
      <c r="G6" s="2">
        <f>RATE(G2,G3,G4,G5)</f>
        <v>3.4009590384888669E-2</v>
      </c>
    </row>
    <row r="8" spans="1:8" x14ac:dyDescent="0.45">
      <c r="A8" t="s">
        <v>13</v>
      </c>
      <c r="B8">
        <v>0.5</v>
      </c>
    </row>
    <row r="10" spans="1:8" x14ac:dyDescent="0.45">
      <c r="A10" t="s">
        <v>14</v>
      </c>
      <c r="B10" s="1">
        <v>6.4000000000000001E-2</v>
      </c>
      <c r="C10" t="s">
        <v>19</v>
      </c>
    </row>
    <row r="11" spans="1:8" x14ac:dyDescent="0.45">
      <c r="A11" t="s">
        <v>12</v>
      </c>
      <c r="B11">
        <f>(1+B10)^B8-1</f>
        <v>3.1503756658210147E-2</v>
      </c>
    </row>
    <row r="13" spans="1:8" x14ac:dyDescent="0.45">
      <c r="A13" t="s">
        <v>12</v>
      </c>
      <c r="B13">
        <v>3.4000000000000002E-2</v>
      </c>
    </row>
    <row r="14" spans="1:8" x14ac:dyDescent="0.45">
      <c r="A14" t="s">
        <v>11</v>
      </c>
      <c r="B14">
        <f>(1+B13)^(1/B8)-1</f>
        <v>6.9155999999999995E-2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2016-03-13T16:10:41Z</dcterms:modified>
</cp:coreProperties>
</file>