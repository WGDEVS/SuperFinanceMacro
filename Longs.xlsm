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gdev\Documents\GitHub\SuperFinanceMacro\"/>
    </mc:Choice>
  </mc:AlternateContent>
  <bookViews>
    <workbookView xWindow="0" yWindow="0" windowWidth="16860" windowHeight="6893"/>
  </bookViews>
  <sheets>
    <sheet name="Longs" sheetId="7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7" l="1"/>
  <c r="I9" i="7"/>
  <c r="I8" i="7" l="1"/>
  <c r="B8" i="7"/>
  <c r="B9" i="7" s="1"/>
  <c r="B13" i="7" s="1"/>
  <c r="B14" i="7" l="1"/>
  <c r="B15" i="7" s="1"/>
  <c r="B16" i="7" s="1"/>
  <c r="B7" i="7"/>
  <c r="B12" i="7"/>
  <c r="B10" i="7"/>
</calcChain>
</file>

<file path=xl/sharedStrings.xml><?xml version="1.0" encoding="utf-8"?>
<sst xmlns="http://schemas.openxmlformats.org/spreadsheetml/2006/main" count="28" uniqueCount="25">
  <si>
    <t>Transaction Value:</t>
  </si>
  <si>
    <t>Deposit</t>
  </si>
  <si>
    <t>Margin Loan</t>
  </si>
  <si>
    <t>Broker Loan</t>
  </si>
  <si>
    <t>Margin Loan %</t>
  </si>
  <si>
    <t>Min Stock Value</t>
  </si>
  <si>
    <t>Change</t>
  </si>
  <si>
    <t>Change per share</t>
  </si>
  <si>
    <t>Min Stock Price</t>
  </si>
  <si>
    <t>Find the stock price before call</t>
  </si>
  <si>
    <t>Now price * stock purchased</t>
  </si>
  <si>
    <t>Max Loan:</t>
  </si>
  <si>
    <t>Can goal seek others</t>
  </si>
  <si>
    <t>Stock purchased</t>
  </si>
  <si>
    <t>Original Price</t>
  </si>
  <si>
    <t>Before Margin Call</t>
  </si>
  <si>
    <t>Margin Requirement</t>
  </si>
  <si>
    <t>You must deposit this much</t>
  </si>
  <si>
    <t>New Price</t>
  </si>
  <si>
    <t>Cash Flow (on margin)</t>
  </si>
  <si>
    <t>Min Deposit</t>
  </si>
  <si>
    <t>if using right, use minimum</t>
  </si>
  <si>
    <t>New Stock Value</t>
  </si>
  <si>
    <t>New Margin</t>
  </si>
  <si>
    <t>New Max 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</si>
</sst>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* #,##0.00_-;\-&quot;$&quot;* #,##0.00_-;_-&quot;$&quot;* &quot;-&quot;??_-;_-@_-"/>
    <numFmt numFmtId="166" formatCode="_(&quot;$&quot;* #,##0.00_);_(&quot;$&quot;* \(#,##0.00\);_(&quot;$&quot;* &quot;-&quot;??_);_(@_)"/>
    <numFmt numFmtId="167" formatCode="&quot;$&quot;#,##0.00_);[Red]\(&quot;$&quot;#,##0.00\)"/>
    <numFmt numFmtId="168" formatCode="0.0%"/>
    <numFmt numFmtId="169" formatCode="&quot;$&quot;#,##0.00;[Red]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0" borderId="0" xfId="0" applyNumberFormat="1"/>
    <xf numFmtId="44" fontId="0" fillId="0" borderId="0" xfId="1" applyFont="1"/>
    <xf numFmtId="167" fontId="0" fillId="0" borderId="0" xfId="0" applyNumberFormat="1"/>
    <xf numFmtId="166" fontId="0" fillId="0" borderId="0" xfId="0" applyNumberFormat="1"/>
    <xf numFmtId="168" fontId="0" fillId="0" borderId="0" xfId="2" applyNumberFormat="1" applyFont="1"/>
    <xf numFmtId="44" fontId="0" fillId="0" borderId="0" xfId="0" applyNumberFormat="1"/>
    <xf numFmtId="0" fontId="2" fillId="0" borderId="0" xfId="0" applyFont="1"/>
    <xf numFmtId="169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6"/>
  <sheetViews>
    <sheetView tabSelected="1" topLeftCell="C1" workbookViewId="0">
      <selection activeCell="H24" sqref="H24"/>
    </sheetView>
  </sheetViews>
  <sheetFormatPr defaultRowHeight="14.25" x14ac:dyDescent="0.45"/>
  <cols>
    <col min="1" max="1" width="20.3984375" customWidth="1"/>
    <col min="2" max="2" width="14.33203125" customWidth="1"/>
    <col min="8" max="8" width="21" customWidth="1"/>
    <col min="9" max="9" width="15.3984375" bestFit="1" customWidth="1"/>
  </cols>
  <sheetData>
    <row r="1" spans="1:9" x14ac:dyDescent="0.45">
      <c r="A1" t="s">
        <v>9</v>
      </c>
      <c r="C1" t="s">
        <v>12</v>
      </c>
    </row>
    <row r="2" spans="1:9" x14ac:dyDescent="0.45">
      <c r="A2" t="s">
        <v>13</v>
      </c>
      <c r="B2">
        <v>3000</v>
      </c>
    </row>
    <row r="3" spans="1:9" x14ac:dyDescent="0.45">
      <c r="A3" t="s">
        <v>14</v>
      </c>
      <c r="B3">
        <v>4</v>
      </c>
    </row>
    <row r="4" spans="1:9" x14ac:dyDescent="0.45">
      <c r="A4" t="s">
        <v>11</v>
      </c>
      <c r="B4" s="1">
        <v>0.5</v>
      </c>
    </row>
    <row r="5" spans="1:9" x14ac:dyDescent="0.45">
      <c r="A5" t="s">
        <v>1</v>
      </c>
      <c r="B5" s="3">
        <v>6000</v>
      </c>
      <c r="C5" s="7" t="s">
        <v>21</v>
      </c>
      <c r="H5" t="s">
        <v>18</v>
      </c>
      <c r="I5">
        <v>1.9</v>
      </c>
    </row>
    <row r="6" spans="1:9" x14ac:dyDescent="0.45">
      <c r="H6" t="s">
        <v>23</v>
      </c>
      <c r="I6" s="1">
        <v>0.4</v>
      </c>
    </row>
    <row r="7" spans="1:9" x14ac:dyDescent="0.45">
      <c r="A7" t="s">
        <v>20</v>
      </c>
      <c r="B7" s="8">
        <f>(1-B4)*B8</f>
        <v>6000</v>
      </c>
    </row>
    <row r="8" spans="1:9" x14ac:dyDescent="0.45">
      <c r="A8" t="s">
        <v>0</v>
      </c>
      <c r="B8" s="2">
        <f>B2*B3</f>
        <v>12000</v>
      </c>
      <c r="C8" t="s">
        <v>10</v>
      </c>
      <c r="H8" t="s">
        <v>22</v>
      </c>
      <c r="I8">
        <f>I5*B2</f>
        <v>5700</v>
      </c>
    </row>
    <row r="9" spans="1:9" x14ac:dyDescent="0.45">
      <c r="A9" t="s">
        <v>2</v>
      </c>
      <c r="B9" s="4">
        <f>B8-B5</f>
        <v>6000</v>
      </c>
      <c r="C9" t="s">
        <v>3</v>
      </c>
      <c r="H9" t="s">
        <v>24</v>
      </c>
      <c r="I9" s="6">
        <f>I6*I8</f>
        <v>2280</v>
      </c>
    </row>
    <row r="10" spans="1:9" x14ac:dyDescent="0.45">
      <c r="A10" t="s">
        <v>4</v>
      </c>
      <c r="B10" s="5">
        <f>B9/B8</f>
        <v>0.5</v>
      </c>
      <c r="H10" t="s">
        <v>19</v>
      </c>
      <c r="I10" s="6">
        <f>I9-B9</f>
        <v>-3720</v>
      </c>
    </row>
    <row r="12" spans="1:9" x14ac:dyDescent="0.45">
      <c r="A12" t="s">
        <v>16</v>
      </c>
      <c r="B12" s="6">
        <f>B4*B8</f>
        <v>6000</v>
      </c>
      <c r="C12" t="s">
        <v>17</v>
      </c>
    </row>
    <row r="13" spans="1:9" x14ac:dyDescent="0.45">
      <c r="A13" t="s">
        <v>5</v>
      </c>
      <c r="B13" s="4">
        <f>B9/B4</f>
        <v>12000</v>
      </c>
      <c r="C13" t="s">
        <v>15</v>
      </c>
    </row>
    <row r="14" spans="1:9" x14ac:dyDescent="0.45">
      <c r="A14" t="s">
        <v>6</v>
      </c>
      <c r="B14" s="4">
        <f>B8-B13</f>
        <v>0</v>
      </c>
      <c r="C14" t="s">
        <v>15</v>
      </c>
    </row>
    <row r="15" spans="1:9" x14ac:dyDescent="0.45">
      <c r="A15" t="s">
        <v>7</v>
      </c>
      <c r="B15" s="4">
        <f>B14/1700</f>
        <v>0</v>
      </c>
      <c r="C15" t="s">
        <v>15</v>
      </c>
    </row>
    <row r="16" spans="1:9" x14ac:dyDescent="0.45">
      <c r="A16" t="s">
        <v>8</v>
      </c>
      <c r="B16" s="4">
        <f>19.15-B15</f>
        <v>19.149999999999999</v>
      </c>
      <c r="C16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wgdev</dc:creator>
  <cp:lastModifiedBy>wgdev</cp:lastModifiedBy>
  <dcterms:created xsi:type="dcterms:W3CDTF">2016-02-26T04:43:32Z</dcterms:created>
  <dcterms:modified xsi:type="dcterms:W3CDTF">2016-03-13T16:13:45Z</dcterms:modified>
</cp:coreProperties>
</file>